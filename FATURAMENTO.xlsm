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4AEB4F63-F33D-04DF-ECAF-5796C6CBFC7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alyss\OneDrive\Desktop\"/>
    </mc:Choice>
  </mc:AlternateContent>
  <xr:revisionPtr revIDLastSave="0" documentId="8_{D60F913E-2E5E-4D13-8FCC-50A3E5597FAB}" xr6:coauthVersionLast="45" xr6:coauthVersionMax="45" xr10:uidLastSave="{00000000-0000-0000-0000-000000000000}"/>
  <bookViews>
    <workbookView xWindow="-120" yWindow="-120" windowWidth="20730" windowHeight="11160" activeTab="2" xr2:uid="{00000000-000D-0000-FFFF-FFFF00000000}"/>
  </bookViews>
  <sheets>
    <sheet name="Gráfico2" sheetId="5" r:id="rId1"/>
    <sheet name="Gráfico1" sheetId="4" r:id="rId2"/>
    <sheet name="Plan1" sheetId="1" r:id="rId3"/>
    <sheet name="Plan2" sheetId="2" r:id="rId4"/>
    <sheet name="Plan3" sheetId="3" r:id="rId5"/>
  </sheets>
  <definedNames>
    <definedName name="_xlnm.Print_Area" localSheetId="2">Plan1!$A$1:$L$71</definedName>
    <definedName name="Faturamento_Hapvida">Tabela1[#All]</definedName>
    <definedName name="PEDIDO_DE_COMPRA">Tabela1[]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1" i="1" l="1"/>
  <c r="L2" i="1" l="1"/>
  <c r="L3" i="1" l="1"/>
</calcChain>
</file>

<file path=xl/sharedStrings.xml><?xml version="1.0" encoding="utf-8"?>
<sst xmlns="http://schemas.openxmlformats.org/spreadsheetml/2006/main" count="29" uniqueCount="25">
  <si>
    <t>PEDIDO DE COMPRA</t>
  </si>
  <si>
    <t>NF</t>
  </si>
  <si>
    <t>ORIGEM</t>
  </si>
  <si>
    <t>DESTINO</t>
  </si>
  <si>
    <t>DATA DE EMISSÃO</t>
  </si>
  <si>
    <t>DATA PAGAMENTO</t>
  </si>
  <si>
    <t>VALOR</t>
  </si>
  <si>
    <t>137(CTE)</t>
  </si>
  <si>
    <t>SP</t>
  </si>
  <si>
    <t>SC</t>
  </si>
  <si>
    <t>PROPOSTA ORÇAMENTÁRIA</t>
  </si>
  <si>
    <t>RN</t>
  </si>
  <si>
    <t>CE</t>
  </si>
  <si>
    <t>-</t>
  </si>
  <si>
    <t>SITUAÇÃO</t>
  </si>
  <si>
    <t>PAGO</t>
  </si>
  <si>
    <t>138 (CTE)</t>
  </si>
  <si>
    <t>MA</t>
  </si>
  <si>
    <t>365 (CTE)</t>
  </si>
  <si>
    <t>VALOR TOTAL PENDENTE</t>
  </si>
  <si>
    <t>VALOR TOTAL PAGO</t>
  </si>
  <si>
    <r>
      <t xml:space="preserve">VALOR TOTAL </t>
    </r>
    <r>
      <rPr>
        <b/>
        <sz val="11"/>
        <color rgb="FF0000FF"/>
        <rFont val="Wingdings"/>
        <charset val="2"/>
      </rPr>
      <t>ð</t>
    </r>
  </si>
  <si>
    <t>DATA ATUAL:</t>
  </si>
  <si>
    <t>PENDENTE (108 dias)</t>
  </si>
  <si>
    <t xml:space="preserve">FATURAMENTO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</si>
</sst>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$&quot;\ * #,##0.00_-;\-&quot;R$&quot;\ * #,##0.00_-;_-&quot;R$&quot;\ * &quot;-&quot;??_-;_-@_-"/>
  </numFmts>
  <fonts count="19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FF"/>
      <name val="Wingdings"/>
      <charset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24"/>
      <color rgb="FF0000FF"/>
      <name val="Bahnschrift SemiBold"/>
      <family val="2"/>
    </font>
    <font>
      <sz val="11"/>
      <color theme="1"/>
      <name val="Tw Cen MT"/>
      <family val="2"/>
    </font>
    <font>
      <b/>
      <sz val="11"/>
      <color rgb="FF0000FF"/>
      <name val="Tw Cen MT"/>
      <family val="2"/>
    </font>
    <font>
      <b/>
      <sz val="11"/>
      <color rgb="FFFF0000"/>
      <name val="Tw Cen MT"/>
      <family val="2"/>
    </font>
    <font>
      <b/>
      <sz val="11"/>
      <color theme="1"/>
      <name val="Tw Cen MT"/>
      <family val="2"/>
    </font>
    <font>
      <sz val="11"/>
      <color rgb="FF9C0006"/>
      <name val="Tw Cen MT"/>
      <family val="2"/>
    </font>
    <font>
      <sz val="11"/>
      <color rgb="FF006100"/>
      <name val="Tw Cen MT"/>
      <family val="2"/>
    </font>
    <font>
      <b/>
      <sz val="11"/>
      <name val="Tw Cen MT"/>
      <family val="2"/>
    </font>
    <font>
      <sz val="8"/>
      <color rgb="FF000000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0" applyNumberFormat="0" applyBorder="0" applyAlignment="0" applyProtection="0"/>
  </cellStyleXfs>
  <cellXfs count="31">
    <xf numFmtId="0" fontId="0" fillId="0" borderId="0" xfId="0"/>
    <xf numFmtId="0" fontId="0" fillId="0" borderId="0" xfId="0" applyBorder="1"/>
    <xf numFmtId="0" fontId="0" fillId="0" borderId="0" xfId="0" applyFill="1" applyBorder="1"/>
    <xf numFmtId="0" fontId="2" fillId="2" borderId="0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164" fontId="2" fillId="2" borderId="0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/>
    <xf numFmtId="14" fontId="17" fillId="8" borderId="0" xfId="0" applyNumberFormat="1" applyFont="1" applyFill="1" applyBorder="1" applyAlignment="1">
      <alignment horizontal="center"/>
    </xf>
    <xf numFmtId="14" fontId="14" fillId="7" borderId="0" xfId="0" applyNumberFormat="1" applyFont="1" applyFill="1" applyBorder="1" applyAlignment="1">
      <alignment horizontal="center"/>
    </xf>
    <xf numFmtId="0" fontId="11" fillId="8" borderId="0" xfId="0" applyFont="1" applyFill="1" applyBorder="1" applyAlignment="1">
      <alignment horizontal="center"/>
    </xf>
    <xf numFmtId="14" fontId="11" fillId="8" borderId="0" xfId="0" applyNumberFormat="1" applyFont="1" applyFill="1" applyBorder="1" applyAlignment="1">
      <alignment horizontal="center"/>
    </xf>
    <xf numFmtId="164" fontId="13" fillId="8" borderId="0" xfId="0" applyNumberFormat="1" applyFont="1" applyFill="1" applyBorder="1" applyAlignment="1">
      <alignment horizontal="center"/>
    </xf>
    <xf numFmtId="0" fontId="13" fillId="8" borderId="0" xfId="0" applyFont="1" applyFill="1" applyBorder="1" applyAlignment="1">
      <alignment horizontal="center"/>
    </xf>
    <xf numFmtId="0" fontId="4" fillId="4" borderId="0" xfId="2" applyBorder="1" applyAlignment="1">
      <alignment horizontal="center" vertical="center" wrapText="1"/>
    </xf>
    <xf numFmtId="0" fontId="3" fillId="3" borderId="0" xfId="1" applyBorder="1" applyAlignment="1">
      <alignment horizontal="center" vertical="center" wrapText="1"/>
    </xf>
    <xf numFmtId="164" fontId="15" fillId="4" borderId="0" xfId="2" applyNumberFormat="1" applyFont="1" applyBorder="1" applyAlignment="1">
      <alignment horizontal="center" vertical="center" wrapText="1"/>
    </xf>
    <xf numFmtId="164" fontId="16" fillId="3" borderId="0" xfId="1" applyNumberFormat="1" applyFont="1" applyBorder="1" applyAlignment="1">
      <alignment vertical="center" wrapText="1"/>
    </xf>
    <xf numFmtId="0" fontId="1" fillId="0" borderId="0" xfId="0" applyFont="1" applyBorder="1"/>
    <xf numFmtId="0" fontId="12" fillId="5" borderId="0" xfId="3" applyFont="1" applyBorder="1" applyAlignment="1">
      <alignment vertical="center"/>
    </xf>
    <xf numFmtId="164" fontId="12" fillId="5" borderId="0" xfId="3" applyNumberFormat="1" applyFont="1" applyBorder="1" applyAlignment="1">
      <alignment vertical="center"/>
    </xf>
    <xf numFmtId="0" fontId="0" fillId="0" borderId="0" xfId="0" quotePrefix="1" applyBorder="1"/>
    <xf numFmtId="164" fontId="0" fillId="0" borderId="0" xfId="0" applyNumberFormat="1" applyBorder="1"/>
    <xf numFmtId="0" fontId="11" fillId="7" borderId="0" xfId="0" applyFont="1" applyFill="1" applyBorder="1" applyAlignment="1">
      <alignment horizontal="center"/>
    </xf>
    <xf numFmtId="14" fontId="11" fillId="7" borderId="0" xfId="0" applyNumberFormat="1" applyFont="1" applyFill="1" applyBorder="1" applyAlignment="1">
      <alignment horizontal="center"/>
    </xf>
    <xf numFmtId="0" fontId="12" fillId="7" borderId="0" xfId="0" applyFont="1" applyFill="1" applyBorder="1" applyAlignment="1">
      <alignment horizontal="center"/>
    </xf>
    <xf numFmtId="164" fontId="12" fillId="7" borderId="0" xfId="0" applyNumberFormat="1" applyFont="1" applyFill="1" applyBorder="1" applyAlignment="1">
      <alignment horizontal="center"/>
    </xf>
    <xf numFmtId="0" fontId="6" fillId="0" borderId="0" xfId="0" applyFont="1" applyFill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4" fontId="9" fillId="2" borderId="0" xfId="0" applyNumberFormat="1" applyFont="1" applyFill="1" applyBorder="1" applyAlignment="1">
      <alignment horizontal="center"/>
    </xf>
    <xf numFmtId="0" fontId="10" fillId="6" borderId="0" xfId="0" applyFont="1" applyFill="1" applyBorder="1" applyAlignment="1">
      <alignment horizontal="left" vertical="center"/>
    </xf>
  </cellXfs>
  <cellStyles count="4">
    <cellStyle name="Bom" xfId="1" builtinId="26"/>
    <cellStyle name="Neutro" xfId="3" builtinId="28"/>
    <cellStyle name="Normal" xfId="0" builtinId="0"/>
    <cellStyle name="Ruim" xfId="2" builtinId="27"/>
  </cellStyles>
  <dxfs count="18">
    <dxf>
      <font>
        <strike val="0"/>
        <outline val="0"/>
        <shadow val="0"/>
        <u val="none"/>
        <vertAlign val="baseline"/>
        <sz val="11"/>
        <name val="Tw Cen MT"/>
        <family val="2"/>
        <scheme val="none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11"/>
        <name val="Tw Cen MT"/>
        <family val="2"/>
        <scheme val="none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11"/>
        <name val="Tw Cen MT"/>
        <family val="2"/>
        <scheme val="none"/>
      </font>
    </dxf>
    <dxf>
      <font>
        <b/>
        <strike val="0"/>
        <outline val="0"/>
        <shadow val="0"/>
        <u val="none"/>
        <vertAlign val="baseline"/>
        <sz val="11"/>
        <name val="Tw Cen MT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Tw Cen MT"/>
        <family val="2"/>
        <scheme val="none"/>
      </font>
      <numFmt numFmtId="16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Tw Cen MT"/>
        <family val="2"/>
        <scheme val="none"/>
      </font>
      <numFmt numFmtId="165" formatCode="dd/mm/yyyy"/>
      <fill>
        <patternFill patternType="solid">
          <fgColor indexed="64"/>
          <bgColor rgb="FFC6EFCE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w Cen MT"/>
        <family val="2"/>
        <scheme val="none"/>
      </font>
      <numFmt numFmtId="165" formatCode="dd/mm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w Cen MT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w Cen MT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w Cen MT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w Cen MT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Tw Cen MT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name val="Tw Cen MT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0000FF"/>
      <color rgb="FFC6EFCE"/>
      <color rgb="FF0070C0"/>
      <color rgb="FFFFC7CE"/>
      <color rgb="FF8DB4E2"/>
      <color rgb="FF3333FF"/>
      <color rgb="FF6600FF"/>
      <color rgb="FFF79646"/>
      <color rgb="FFFF781D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1.xml"/><Relationship Id="rId7" Type="http://schemas.openxmlformats.org/officeDocument/2006/relationships/styles" Target="styles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3.xml"/><Relationship Id="rId10" Type="http://schemas.microsoft.com/office/2006/relationships/vbaProject" Target="vbaProject.bin"/><Relationship Id="rId4" Type="http://schemas.openxmlformats.org/officeDocument/2006/relationships/worksheet" Target="worksheets/sheet2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Plan1!$A$3</c:f>
              <c:strCache>
                <c:ptCount val="1"/>
                <c:pt idx="0">
                  <c:v>PEDIDO DE COMPRA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Plan1!$A$4:$A$59</c:f>
              <c:numCache>
                <c:formatCode>General</c:formatCode>
                <c:ptCount val="56"/>
                <c:pt idx="1">
                  <c:v>873930</c:v>
                </c:pt>
                <c:pt idx="2">
                  <c:v>871141</c:v>
                </c:pt>
                <c:pt idx="3">
                  <c:v>870987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B0-468A-B798-5F9FFA6413F3}"/>
            </c:ext>
          </c:extLst>
        </c:ser>
        <c:ser>
          <c:idx val="1"/>
          <c:order val="1"/>
          <c:tx>
            <c:strRef>
              <c:f>Plan1!$B$3</c:f>
              <c:strCache>
                <c:ptCount val="1"/>
                <c:pt idx="0">
                  <c:v>PROPOSTA ORÇAMENTÁRIA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Plan1!$B$4:$B$59</c:f>
              <c:numCache>
                <c:formatCode>General</c:formatCode>
                <c:ptCount val="56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B0-468A-B798-5F9FFA6413F3}"/>
            </c:ext>
          </c:extLst>
        </c:ser>
        <c:ser>
          <c:idx val="2"/>
          <c:order val="2"/>
          <c:tx>
            <c:strRef>
              <c:f>Plan1!$C$3</c:f>
              <c:strCache>
                <c:ptCount val="1"/>
                <c:pt idx="0">
                  <c:v>NF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Plan1!$C$4:$C$59</c:f>
              <c:numCache>
                <c:formatCode>General</c:formatCode>
                <c:ptCount val="56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B0-468A-B798-5F9FFA6413F3}"/>
            </c:ext>
          </c:extLst>
        </c:ser>
        <c:ser>
          <c:idx val="3"/>
          <c:order val="3"/>
          <c:tx>
            <c:strRef>
              <c:f>Plan1!$D$3</c:f>
              <c:strCache>
                <c:ptCount val="1"/>
                <c:pt idx="0">
                  <c:v>ORIGEM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Plan1!$D$4:$D$59</c:f>
              <c:numCache>
                <c:formatCode>General</c:formatCode>
                <c:ptCount val="56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B0-468A-B798-5F9FFA6413F3}"/>
            </c:ext>
          </c:extLst>
        </c:ser>
        <c:ser>
          <c:idx val="4"/>
          <c:order val="4"/>
          <c:tx>
            <c:strRef>
              <c:f>Plan1!$E$3</c:f>
              <c:strCache>
                <c:ptCount val="1"/>
                <c:pt idx="0">
                  <c:v>DESTINO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Plan1!$E$4:$E$59</c:f>
              <c:numCache>
                <c:formatCode>General</c:formatCode>
                <c:ptCount val="56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B0-468A-B798-5F9FFA6413F3}"/>
            </c:ext>
          </c:extLst>
        </c:ser>
        <c:ser>
          <c:idx val="5"/>
          <c:order val="5"/>
          <c:tx>
            <c:strRef>
              <c:f>Plan1!$F$3</c:f>
              <c:strCache>
                <c:ptCount val="1"/>
                <c:pt idx="0">
                  <c:v>DATA DE EMISSÃO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Plan1!$F$4:$F$59</c:f>
              <c:numCache>
                <c:formatCode>m/d/yyyy</c:formatCode>
                <c:ptCount val="56"/>
                <c:pt idx="1">
                  <c:v>43623</c:v>
                </c:pt>
                <c:pt idx="2">
                  <c:v>43621</c:v>
                </c:pt>
                <c:pt idx="3">
                  <c:v>43622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B0-468A-B798-5F9FFA6413F3}"/>
            </c:ext>
          </c:extLst>
        </c:ser>
        <c:ser>
          <c:idx val="6"/>
          <c:order val="6"/>
          <c:tx>
            <c:strRef>
              <c:f>Plan1!$G$3</c:f>
              <c:strCache>
                <c:ptCount val="1"/>
                <c:pt idx="0">
                  <c:v>DATA PAGAMENTO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Plan1!$G$4:$G$59</c:f>
              <c:numCache>
                <c:formatCode>m/d/yyyy</c:formatCode>
                <c:ptCount val="56"/>
                <c:pt idx="1">
                  <c:v>43623</c:v>
                </c:pt>
                <c:pt idx="2">
                  <c:v>43651</c:v>
                </c:pt>
                <c:pt idx="3">
                  <c:v>43652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DB0-468A-B798-5F9FFA6413F3}"/>
            </c:ext>
          </c:extLst>
        </c:ser>
        <c:ser>
          <c:idx val="7"/>
          <c:order val="7"/>
          <c:tx>
            <c:strRef>
              <c:f>Plan1!$H$3</c:f>
              <c:strCache>
                <c:ptCount val="1"/>
                <c:pt idx="0">
                  <c:v> VALOR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Plan1!$H$4:$H$59</c:f>
              <c:numCache>
                <c:formatCode>_-"R$"\ * #,##0.00_-;\-"R$"\ * #,##0.00_-;_-"R$"\ * "-"??_-;_-@_-</c:formatCode>
                <c:ptCount val="56"/>
                <c:pt idx="1">
                  <c:v>200</c:v>
                </c:pt>
                <c:pt idx="2">
                  <c:v>3300</c:v>
                </c:pt>
                <c:pt idx="3">
                  <c:v>1920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DB0-468A-B798-5F9FFA6413F3}"/>
            </c:ext>
          </c:extLst>
        </c:ser>
        <c:ser>
          <c:idx val="8"/>
          <c:order val="8"/>
          <c:tx>
            <c:strRef>
              <c:f>Plan1!$I$3</c:f>
              <c:strCache>
                <c:ptCount val="1"/>
                <c:pt idx="0">
                  <c:v> SITUAÇÃO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Plan1!$I$4:$I$59</c:f>
              <c:numCache>
                <c:formatCode>General</c:formatCode>
                <c:ptCount val="56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DB0-468A-B798-5F9FFA641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4010824"/>
        <c:axId val="554011808"/>
      </c:barChart>
      <c:catAx>
        <c:axId val="5540108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011808"/>
        <c:crosses val="autoZero"/>
        <c:auto val="1"/>
        <c:lblAlgn val="ctr"/>
        <c:lblOffset val="100"/>
        <c:noMultiLvlLbl val="0"/>
      </c:catAx>
      <c:valAx>
        <c:axId val="55401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010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Plan1!$A$3</c:f>
              <c:strCache>
                <c:ptCount val="1"/>
                <c:pt idx="0">
                  <c:v>PEDIDO DE COMPRA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Plan1!$A$4:$A$59</c:f>
              <c:numCache>
                <c:formatCode>General</c:formatCode>
                <c:ptCount val="56"/>
                <c:pt idx="1">
                  <c:v>873930</c:v>
                </c:pt>
                <c:pt idx="2">
                  <c:v>871141</c:v>
                </c:pt>
                <c:pt idx="3">
                  <c:v>870987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89-4791-BFBF-A451758276D4}"/>
            </c:ext>
          </c:extLst>
        </c:ser>
        <c:ser>
          <c:idx val="1"/>
          <c:order val="1"/>
          <c:tx>
            <c:strRef>
              <c:f>Plan1!$B$3</c:f>
              <c:strCache>
                <c:ptCount val="1"/>
                <c:pt idx="0">
                  <c:v>PROPOSTA ORÇAMENTÁRIA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Plan1!$B$4:$B$59</c:f>
              <c:numCache>
                <c:formatCode>General</c:formatCode>
                <c:ptCount val="56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89-4791-BFBF-A451758276D4}"/>
            </c:ext>
          </c:extLst>
        </c:ser>
        <c:ser>
          <c:idx val="2"/>
          <c:order val="2"/>
          <c:tx>
            <c:strRef>
              <c:f>Plan1!$C$3</c:f>
              <c:strCache>
                <c:ptCount val="1"/>
                <c:pt idx="0">
                  <c:v>NF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Plan1!$C$4:$C$59</c:f>
              <c:numCache>
                <c:formatCode>General</c:formatCode>
                <c:ptCount val="56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A89-4791-BFBF-A451758276D4}"/>
            </c:ext>
          </c:extLst>
        </c:ser>
        <c:ser>
          <c:idx val="3"/>
          <c:order val="3"/>
          <c:tx>
            <c:strRef>
              <c:f>Plan1!$D$3</c:f>
              <c:strCache>
                <c:ptCount val="1"/>
                <c:pt idx="0">
                  <c:v>ORIGEM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Plan1!$D$4:$D$59</c:f>
              <c:numCache>
                <c:formatCode>General</c:formatCode>
                <c:ptCount val="56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A89-4791-BFBF-A451758276D4}"/>
            </c:ext>
          </c:extLst>
        </c:ser>
        <c:ser>
          <c:idx val="4"/>
          <c:order val="4"/>
          <c:tx>
            <c:strRef>
              <c:f>Plan1!$E$3</c:f>
              <c:strCache>
                <c:ptCount val="1"/>
                <c:pt idx="0">
                  <c:v>DESTINO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Plan1!$E$4:$E$59</c:f>
              <c:numCache>
                <c:formatCode>General</c:formatCode>
                <c:ptCount val="56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A89-4791-BFBF-A451758276D4}"/>
            </c:ext>
          </c:extLst>
        </c:ser>
        <c:ser>
          <c:idx val="5"/>
          <c:order val="5"/>
          <c:tx>
            <c:strRef>
              <c:f>Plan1!$F$3</c:f>
              <c:strCache>
                <c:ptCount val="1"/>
                <c:pt idx="0">
                  <c:v>DATA DE EMISSÃO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Plan1!$F$4:$F$59</c:f>
              <c:numCache>
                <c:formatCode>m/d/yyyy</c:formatCode>
                <c:ptCount val="56"/>
                <c:pt idx="1">
                  <c:v>43623</c:v>
                </c:pt>
                <c:pt idx="2">
                  <c:v>43621</c:v>
                </c:pt>
                <c:pt idx="3">
                  <c:v>43622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A89-4791-BFBF-A451758276D4}"/>
            </c:ext>
          </c:extLst>
        </c:ser>
        <c:ser>
          <c:idx val="6"/>
          <c:order val="6"/>
          <c:tx>
            <c:strRef>
              <c:f>Plan1!$G$3</c:f>
              <c:strCache>
                <c:ptCount val="1"/>
                <c:pt idx="0">
                  <c:v>DATA PAGAMENTO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Plan1!$G$4:$G$59</c:f>
              <c:numCache>
                <c:formatCode>m/d/yyyy</c:formatCode>
                <c:ptCount val="56"/>
                <c:pt idx="1">
                  <c:v>43623</c:v>
                </c:pt>
                <c:pt idx="2">
                  <c:v>43651</c:v>
                </c:pt>
                <c:pt idx="3">
                  <c:v>43652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A89-4791-BFBF-A451758276D4}"/>
            </c:ext>
          </c:extLst>
        </c:ser>
        <c:ser>
          <c:idx val="7"/>
          <c:order val="7"/>
          <c:tx>
            <c:strRef>
              <c:f>Plan1!$H$3</c:f>
              <c:strCache>
                <c:ptCount val="1"/>
                <c:pt idx="0">
                  <c:v> VALOR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Plan1!$H$4:$H$59</c:f>
              <c:numCache>
                <c:formatCode>_-"R$"\ * #,##0.00_-;\-"R$"\ * #,##0.00_-;_-"R$"\ * "-"??_-;_-@_-</c:formatCode>
                <c:ptCount val="56"/>
                <c:pt idx="1">
                  <c:v>200</c:v>
                </c:pt>
                <c:pt idx="2">
                  <c:v>3300</c:v>
                </c:pt>
                <c:pt idx="3">
                  <c:v>1920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A89-4791-BFBF-A451758276D4}"/>
            </c:ext>
          </c:extLst>
        </c:ser>
        <c:ser>
          <c:idx val="8"/>
          <c:order val="8"/>
          <c:tx>
            <c:strRef>
              <c:f>Plan1!$I$3</c:f>
              <c:strCache>
                <c:ptCount val="1"/>
                <c:pt idx="0">
                  <c:v> SITUAÇÃO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Plan1!$I$4:$I$59</c:f>
              <c:numCache>
                <c:formatCode>General</c:formatCode>
                <c:ptCount val="56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A89-4791-BFBF-A45175827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5833976"/>
        <c:axId val="425831680"/>
      </c:barChart>
      <c:catAx>
        <c:axId val="4258339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831680"/>
        <c:crosses val="autoZero"/>
        <c:auto val="1"/>
        <c:lblAlgn val="ctr"/>
        <c:lblOffset val="100"/>
        <c:noMultiLvlLbl val="0"/>
      </c:catAx>
      <c:valAx>
        <c:axId val="42583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833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AAC968E-D7D6-4E26-8EBC-6765249958B6}">
  <sheetPr codeName="Gráfico1"/>
  <sheetViews>
    <sheetView zoomScale="7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C61D793-222C-49C1-B3B2-6585F7E6F1FF}">
  <sheetPr codeName="Gráfico2"/>
  <sheetViews>
    <sheetView zoomScale="7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0845" cy="601104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640845" cy="601104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0</xdr:row>
          <xdr:rowOff>104775</xdr:rowOff>
        </xdr:from>
        <xdr:to>
          <xdr:col>6</xdr:col>
          <xdr:colOff>1285875</xdr:colOff>
          <xdr:row>1</xdr:row>
          <xdr:rowOff>104775</xdr:rowOff>
        </xdr:to>
        <xdr:sp macro="" textlink="">
          <xdr:nvSpPr>
            <xdr:cNvPr id="1060" name="btnInserir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0</xdr:row>
          <xdr:rowOff>123825</xdr:rowOff>
        </xdr:from>
        <xdr:to>
          <xdr:col>4</xdr:col>
          <xdr:colOff>504825</xdr:colOff>
          <xdr:row>1</xdr:row>
          <xdr:rowOff>66675</xdr:rowOff>
        </xdr:to>
        <xdr:sp macro="" textlink="">
          <xdr:nvSpPr>
            <xdr:cNvPr id="1061" name="txtSearch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771525</xdr:colOff>
          <xdr:row>0</xdr:row>
          <xdr:rowOff>133350</xdr:rowOff>
        </xdr:from>
        <xdr:to>
          <xdr:col>6</xdr:col>
          <xdr:colOff>371475</xdr:colOff>
          <xdr:row>1</xdr:row>
          <xdr:rowOff>66675</xdr:rowOff>
        </xdr:to>
        <xdr:sp macro="" textlink="">
          <xdr:nvSpPr>
            <xdr:cNvPr id="1062" name="btnSearch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485775</xdr:colOff>
          <xdr:row>0</xdr:row>
          <xdr:rowOff>228600</xdr:rowOff>
        </xdr:from>
        <xdr:to>
          <xdr:col>5</xdr:col>
          <xdr:colOff>609600</xdr:colOff>
          <xdr:row>1</xdr:row>
          <xdr:rowOff>9525</xdr:rowOff>
        </xdr:to>
        <xdr:sp macro="" textlink="">
          <xdr:nvSpPr>
            <xdr:cNvPr id="1063" name="Option 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2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Proposta Orçamenária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485775</xdr:colOff>
          <xdr:row>0</xdr:row>
          <xdr:rowOff>47625</xdr:rowOff>
        </xdr:from>
        <xdr:to>
          <xdr:col>5</xdr:col>
          <xdr:colOff>609600</xdr:colOff>
          <xdr:row>0</xdr:row>
          <xdr:rowOff>219075</xdr:rowOff>
        </xdr:to>
        <xdr:sp macro="" textlink="">
          <xdr:nvSpPr>
            <xdr:cNvPr id="1064" name="Option 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Pedido de Compra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1</xdr:row>
          <xdr:rowOff>28575</xdr:rowOff>
        </xdr:from>
        <xdr:to>
          <xdr:col>5</xdr:col>
          <xdr:colOff>619125</xdr:colOff>
          <xdr:row>1</xdr:row>
          <xdr:rowOff>180975</xdr:rowOff>
        </xdr:to>
        <xdr:sp macro="" textlink="">
          <xdr:nvSpPr>
            <xdr:cNvPr id="1065" name="Option 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2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Nota fiscal</a:t>
              </a:r>
            </a:p>
          </xdr:txBody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7FE3F5-EED2-4AC0-8E8B-B0DDA74E9E86}" name="Tabela1" displayName="Tabela1" ref="A3:I59" totalsRowShown="0" headerRowDxfId="14" dataDxfId="13" tableBorderDxfId="12">
  <autoFilter ref="A3:I59" xr:uid="{FA1A8D3E-6AC2-44A6-A4DE-488B2A4B20B4}">
    <filterColumn colId="6">
      <customFilters>
        <customFilter operator="notEqual" val=" "/>
      </customFilters>
    </filterColumn>
  </autoFilter>
  <sortState ref="A4:I47">
    <sortCondition ref="G3:G47"/>
  </sortState>
  <tableColumns count="9">
    <tableColumn id="1" xr3:uid="{591094BF-56BA-4A8B-B41E-CC45426A1720}" name="PEDIDO DE COMPRA" dataDxfId="11"/>
    <tableColumn id="2" xr3:uid="{B1316367-78EE-4A0D-AC39-03A26CB2A24C}" name="PROPOSTA ORÇAMENTÁRIA" dataDxfId="10"/>
    <tableColumn id="3" xr3:uid="{A9442CA6-56A5-4F3C-8EAD-CDD5C722108C}" name="NF" dataDxfId="9"/>
    <tableColumn id="4" xr3:uid="{D79B3398-B18B-404B-A724-A66E48DEAB74}" name="ORIGEM" dataDxfId="8"/>
    <tableColumn id="5" xr3:uid="{B746A5EC-55A2-4CB1-BF80-C3ED84E4BD5C}" name="DESTINO" dataDxfId="7"/>
    <tableColumn id="6" xr3:uid="{B0488A71-E56D-4676-9CAF-FBC46754B981}" name="DATA DE EMISSÃO" dataDxfId="6"/>
    <tableColumn id="7" xr3:uid="{D8C19DD7-646C-43FD-AC06-CCCD1C08FF5B}" name="DATA PAGAMENTO" dataDxfId="5"/>
    <tableColumn id="8" xr3:uid="{F2FEBAEE-F726-4944-A478-519EF9C031E0}" name="VALOR" dataDxfId="4"/>
    <tableColumn id="9" xr3:uid="{9FC1F956-7460-4E16-89F6-F25689D84540}" name="SITUAÇÃO" dataDxfId="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ADC504A-3ADC-45E0-B246-06CD10125090}" name="Tabela2" displayName="Tabela2" ref="K1:L2" totalsRowShown="0" dataDxfId="2">
  <autoFilter ref="K1:L2" xr:uid="{06F8E0A5-B6A8-4C3B-8892-50F15ECA405E}"/>
  <tableColumns count="2">
    <tableColumn id="1" xr3:uid="{84618A3B-5154-409A-8786-C210DC7913AF}" name="VALOR TOTAL PENDENTE" dataDxfId="1" dataCellStyle="Ruim"/>
    <tableColumn id="2" xr3:uid="{B90DFBF4-1D08-4427-858F-B037B910DD1F}" name="VALOR TOTAL PAGO" dataDxfId="0" dataCellStyle="Bom">
      <calculatedColumnFormula>SUMIF(Tabela1[SITUAÇÃO],"PAGO",Tabela1[VALOR])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L63"/>
  <sheetViews>
    <sheetView showGridLines="0" tabSelected="1" view="pageBreakPreview" zoomScaleNormal="100" zoomScaleSheetLayoutView="100" workbookViewId="0">
      <pane ySplit="3" topLeftCell="A4" activePane="bottomLeft" state="frozen"/>
      <selection pane="bottomLeft" activeCell="B6" sqref="B6"/>
    </sheetView>
  </sheetViews>
  <sheetFormatPr defaultRowHeight="15" x14ac:dyDescent="0.25"/>
  <cols>
    <col min="1" max="1" width="17.5703125" style="1" bestFit="1" customWidth="1"/>
    <col min="2" max="2" width="23.140625" style="1" bestFit="1" customWidth="1"/>
    <col min="3" max="3" width="9" style="1" bestFit="1" customWidth="1"/>
    <col min="4" max="4" width="14.42578125" style="1" bestFit="1" customWidth="1"/>
    <col min="5" max="5" width="15.28515625" style="1" bestFit="1" customWidth="1"/>
    <col min="6" max="6" width="17.5703125" style="1" customWidth="1"/>
    <col min="7" max="7" width="19.5703125" style="1" bestFit="1" customWidth="1"/>
    <col min="8" max="8" width="14.7109375" style="1" bestFit="1" customWidth="1"/>
    <col min="9" max="9" width="18.7109375" style="1" customWidth="1"/>
    <col min="10" max="10" width="2.7109375" style="1" customWidth="1"/>
    <col min="11" max="12" width="17.7109375" style="1" bestFit="1" customWidth="1"/>
    <col min="13" max="16384" width="9.140625" style="1"/>
  </cols>
  <sheetData>
    <row r="1" spans="1:12" ht="30" x14ac:dyDescent="0.25">
      <c r="A1" s="30" t="s">
        <v>24</v>
      </c>
      <c r="B1" s="30"/>
      <c r="C1" s="30"/>
      <c r="D1" s="30"/>
      <c r="E1" s="30"/>
      <c r="F1" s="30"/>
      <c r="G1" s="30"/>
      <c r="H1" s="6"/>
      <c r="I1" s="29">
        <f ca="1">TODAY()</f>
        <v>43759</v>
      </c>
      <c r="K1" s="13" t="s">
        <v>19</v>
      </c>
      <c r="L1" s="14" t="s">
        <v>20</v>
      </c>
    </row>
    <row r="2" spans="1:12" ht="15" customHeight="1" x14ac:dyDescent="0.25">
      <c r="A2" s="30"/>
      <c r="B2" s="30"/>
      <c r="C2" s="30"/>
      <c r="D2" s="30"/>
      <c r="E2" s="30"/>
      <c r="F2" s="30"/>
      <c r="G2" s="30"/>
      <c r="H2" s="6" t="s">
        <v>22</v>
      </c>
      <c r="I2" s="29"/>
      <c r="K2" s="15">
        <v>3300</v>
      </c>
      <c r="L2" s="16">
        <f>SUMIF(Tabela1[SITUAÇÃO],"PAGO",Tabela1[VALOR])</f>
        <v>2120</v>
      </c>
    </row>
    <row r="3" spans="1:12" ht="31.5" customHeight="1" x14ac:dyDescent="0.25">
      <c r="A3" s="3" t="s">
        <v>0</v>
      </c>
      <c r="B3" s="3" t="s">
        <v>10</v>
      </c>
      <c r="C3" s="4" t="s">
        <v>1</v>
      </c>
      <c r="D3" s="4" t="s">
        <v>2</v>
      </c>
      <c r="E3" s="4" t="s">
        <v>3</v>
      </c>
      <c r="F3" s="3" t="s">
        <v>4</v>
      </c>
      <c r="G3" s="3" t="s">
        <v>5</v>
      </c>
      <c r="H3" s="5" t="s">
        <v>6</v>
      </c>
      <c r="I3" s="5" t="s">
        <v>14</v>
      </c>
      <c r="J3" s="17"/>
      <c r="K3" s="18" t="s">
        <v>21</v>
      </c>
      <c r="L3" s="19">
        <f>SUM(Tabela2[VALOR TOTAL PENDENTE]+Tabela2[VALOR TOTAL PAGO])</f>
        <v>5420</v>
      </c>
    </row>
    <row r="4" spans="1:12" x14ac:dyDescent="0.25">
      <c r="A4"/>
      <c r="B4"/>
      <c r="C4"/>
      <c r="D4"/>
      <c r="E4"/>
      <c r="F4"/>
      <c r="G4"/>
      <c r="H4"/>
      <c r="I4"/>
    </row>
    <row r="5" spans="1:12" x14ac:dyDescent="0.25">
      <c r="A5" s="22">
        <v>873930</v>
      </c>
      <c r="B5" s="22" t="s">
        <v>13</v>
      </c>
      <c r="C5" s="22" t="s">
        <v>18</v>
      </c>
      <c r="D5" s="22" t="s">
        <v>11</v>
      </c>
      <c r="E5" s="22" t="s">
        <v>11</v>
      </c>
      <c r="F5" s="23">
        <v>43623</v>
      </c>
      <c r="G5" s="8">
        <v>43623</v>
      </c>
      <c r="H5" s="25">
        <v>200</v>
      </c>
      <c r="I5" s="24" t="s">
        <v>15</v>
      </c>
      <c r="K5" s="27"/>
      <c r="L5" s="28"/>
    </row>
    <row r="6" spans="1:12" x14ac:dyDescent="0.25">
      <c r="A6" s="9">
        <v>871141</v>
      </c>
      <c r="B6" s="9" t="s">
        <v>13</v>
      </c>
      <c r="C6" s="9" t="s">
        <v>7</v>
      </c>
      <c r="D6" s="9" t="s">
        <v>8</v>
      </c>
      <c r="E6" s="9" t="s">
        <v>9</v>
      </c>
      <c r="F6" s="10">
        <v>43621</v>
      </c>
      <c r="G6" s="7">
        <v>43651</v>
      </c>
      <c r="H6" s="11">
        <v>3300</v>
      </c>
      <c r="I6" s="12" t="s">
        <v>23</v>
      </c>
    </row>
    <row r="7" spans="1:12" x14ac:dyDescent="0.25">
      <c r="A7" s="22">
        <v>870987</v>
      </c>
      <c r="B7" s="22" t="s">
        <v>13</v>
      </c>
      <c r="C7" s="22" t="s">
        <v>16</v>
      </c>
      <c r="D7" s="22" t="s">
        <v>17</v>
      </c>
      <c r="E7" s="22" t="s">
        <v>12</v>
      </c>
      <c r="F7" s="23">
        <v>43622</v>
      </c>
      <c r="G7" s="8">
        <v>43652</v>
      </c>
      <c r="H7" s="25">
        <v>1920</v>
      </c>
      <c r="I7" s="24" t="s">
        <v>15</v>
      </c>
      <c r="K7" s="20"/>
    </row>
    <row r="8" spans="1:12" x14ac:dyDescent="0.25">
      <c r="A8"/>
      <c r="B8"/>
      <c r="C8"/>
      <c r="D8"/>
      <c r="E8"/>
      <c r="F8"/>
      <c r="G8"/>
      <c r="H8"/>
      <c r="I8"/>
      <c r="K8" s="21"/>
    </row>
    <row r="9" spans="1:12" x14ac:dyDescent="0.25">
      <c r="A9"/>
      <c r="B9"/>
      <c r="C9"/>
      <c r="D9"/>
      <c r="E9"/>
      <c r="F9"/>
      <c r="G9"/>
      <c r="H9"/>
      <c r="I9"/>
      <c r="J9" s="26"/>
      <c r="K9" s="26"/>
    </row>
    <row r="10" spans="1:12" x14ac:dyDescent="0.25">
      <c r="A10"/>
      <c r="B10"/>
      <c r="C10"/>
      <c r="D10"/>
      <c r="E10"/>
      <c r="F10"/>
      <c r="G10"/>
      <c r="H10"/>
      <c r="I10"/>
      <c r="K10" s="21"/>
    </row>
    <row r="11" spans="1:12" s="2" customFormat="1" x14ac:dyDescent="0.25">
      <c r="A11"/>
      <c r="B11"/>
      <c r="C11"/>
      <c r="D11"/>
      <c r="E11"/>
      <c r="F11"/>
      <c r="G11"/>
      <c r="H11"/>
      <c r="I11"/>
      <c r="J11" s="26"/>
      <c r="K11" s="26"/>
    </row>
    <row r="12" spans="1:12" s="2" customFormat="1" x14ac:dyDescent="0.25">
      <c r="A12"/>
      <c r="B12"/>
      <c r="C12"/>
      <c r="D12"/>
      <c r="E12"/>
      <c r="F12"/>
      <c r="G12"/>
      <c r="H12"/>
      <c r="I12"/>
      <c r="J12"/>
      <c r="K12"/>
    </row>
    <row r="13" spans="1:12" x14ac:dyDescent="0.25">
      <c r="A13"/>
      <c r="B13"/>
      <c r="C13"/>
      <c r="D13"/>
      <c r="E13"/>
      <c r="F13"/>
      <c r="G13"/>
      <c r="H13"/>
      <c r="I13"/>
    </row>
    <row r="14" spans="1:12" x14ac:dyDescent="0.25">
      <c r="A14"/>
      <c r="B14"/>
      <c r="C14"/>
      <c r="D14"/>
      <c r="E14"/>
      <c r="F14"/>
      <c r="G14"/>
      <c r="H14"/>
      <c r="I14"/>
    </row>
    <row r="15" spans="1:12" s="2" customFormat="1" x14ac:dyDescent="0.25">
      <c r="A15"/>
      <c r="B15"/>
      <c r="C15"/>
      <c r="D15"/>
      <c r="E15"/>
      <c r="F15"/>
      <c r="G15"/>
      <c r="H15"/>
      <c r="I15"/>
    </row>
    <row r="16" spans="1:12" s="2" customFormat="1" x14ac:dyDescent="0.25">
      <c r="A16"/>
      <c r="B16"/>
      <c r="C16"/>
      <c r="D16"/>
      <c r="E16"/>
      <c r="F16"/>
      <c r="G16"/>
      <c r="H16"/>
      <c r="I16"/>
    </row>
    <row r="17" spans="1:12" x14ac:dyDescent="0.25">
      <c r="A17"/>
      <c r="B17"/>
      <c r="C17"/>
      <c r="D17"/>
      <c r="E17"/>
      <c r="F17"/>
      <c r="G17"/>
      <c r="H17"/>
      <c r="I17"/>
    </row>
    <row r="18" spans="1:12" x14ac:dyDescent="0.25">
      <c r="A18"/>
      <c r="B18"/>
      <c r="C18"/>
      <c r="D18"/>
      <c r="E18"/>
      <c r="F18"/>
      <c r="G18"/>
      <c r="H18"/>
      <c r="I18"/>
      <c r="K18" s="26"/>
      <c r="L18" s="26"/>
    </row>
    <row r="19" spans="1:12" x14ac:dyDescent="0.25">
      <c r="A19"/>
      <c r="B19"/>
      <c r="C19"/>
      <c r="D19"/>
      <c r="E19"/>
      <c r="F19"/>
      <c r="G19"/>
      <c r="H19"/>
      <c r="I19"/>
    </row>
    <row r="20" spans="1:12" x14ac:dyDescent="0.25">
      <c r="A20"/>
      <c r="B20"/>
      <c r="C20"/>
      <c r="D20"/>
      <c r="E20"/>
      <c r="F20"/>
      <c r="G20"/>
      <c r="H20"/>
      <c r="I20"/>
    </row>
    <row r="21" spans="1:12" x14ac:dyDescent="0.25">
      <c r="A21"/>
      <c r="B21"/>
      <c r="C21"/>
      <c r="D21"/>
      <c r="E21"/>
      <c r="F21"/>
      <c r="G21"/>
      <c r="H21"/>
      <c r="I21"/>
    </row>
    <row r="22" spans="1:12" x14ac:dyDescent="0.25">
      <c r="A22"/>
      <c r="B22"/>
      <c r="C22"/>
      <c r="D22"/>
      <c r="E22"/>
      <c r="F22"/>
      <c r="G22"/>
      <c r="H22"/>
      <c r="I22"/>
    </row>
    <row r="23" spans="1:12" x14ac:dyDescent="0.25">
      <c r="A23"/>
      <c r="B23"/>
      <c r="C23"/>
      <c r="D23"/>
      <c r="E23"/>
      <c r="F23"/>
      <c r="G23"/>
      <c r="H23"/>
      <c r="I23"/>
    </row>
    <row r="24" spans="1:12" x14ac:dyDescent="0.25">
      <c r="A24"/>
      <c r="B24"/>
      <c r="C24"/>
      <c r="D24"/>
      <c r="E24"/>
      <c r="F24"/>
      <c r="G24"/>
      <c r="H24"/>
      <c r="I24"/>
    </row>
    <row r="25" spans="1:12" x14ac:dyDescent="0.25">
      <c r="A25"/>
      <c r="B25"/>
      <c r="C25"/>
      <c r="D25"/>
      <c r="E25"/>
      <c r="F25"/>
      <c r="G25"/>
      <c r="H25"/>
      <c r="I25"/>
    </row>
    <row r="26" spans="1:12" s="2" customFormat="1" x14ac:dyDescent="0.25">
      <c r="A26"/>
      <c r="B26"/>
      <c r="C26"/>
      <c r="D26"/>
      <c r="E26"/>
      <c r="F26"/>
      <c r="G26"/>
      <c r="H26"/>
      <c r="I26"/>
    </row>
    <row r="27" spans="1:12" x14ac:dyDescent="0.25">
      <c r="A27"/>
      <c r="B27"/>
      <c r="C27"/>
      <c r="D27"/>
      <c r="E27"/>
      <c r="F27"/>
      <c r="G27"/>
      <c r="H27"/>
      <c r="I27"/>
    </row>
    <row r="28" spans="1:12" x14ac:dyDescent="0.25">
      <c r="A28"/>
      <c r="B28"/>
      <c r="C28"/>
      <c r="D28"/>
      <c r="E28"/>
      <c r="F28"/>
      <c r="G28"/>
      <c r="H28"/>
      <c r="I28"/>
    </row>
    <row r="29" spans="1:12" x14ac:dyDescent="0.25">
      <c r="A29"/>
      <c r="B29"/>
      <c r="C29"/>
      <c r="D29"/>
      <c r="E29"/>
      <c r="F29"/>
      <c r="G29"/>
      <c r="H29"/>
      <c r="I29"/>
    </row>
    <row r="30" spans="1:12" x14ac:dyDescent="0.25">
      <c r="A30"/>
      <c r="B30"/>
      <c r="C30"/>
      <c r="D30"/>
      <c r="E30"/>
      <c r="F30"/>
      <c r="G30"/>
      <c r="H30"/>
      <c r="I30"/>
    </row>
    <row r="31" spans="1:12" x14ac:dyDescent="0.25">
      <c r="A31"/>
      <c r="B31"/>
      <c r="C31"/>
      <c r="D31"/>
      <c r="E31"/>
      <c r="F31"/>
      <c r="G31"/>
      <c r="H31"/>
      <c r="I31"/>
    </row>
    <row r="32" spans="1:12" x14ac:dyDescent="0.25">
      <c r="A32"/>
      <c r="B32"/>
      <c r="C32"/>
      <c r="D32"/>
      <c r="E32"/>
      <c r="F32"/>
      <c r="G32"/>
      <c r="H32"/>
      <c r="I32"/>
    </row>
    <row r="33" spans="1:11" x14ac:dyDescent="0.25">
      <c r="A33"/>
      <c r="B33"/>
      <c r="C33"/>
      <c r="D33"/>
      <c r="E33"/>
      <c r="F33"/>
      <c r="G33"/>
      <c r="H33"/>
      <c r="I33"/>
    </row>
    <row r="34" spans="1:11" x14ac:dyDescent="0.25">
      <c r="A34"/>
      <c r="B34"/>
      <c r="C34"/>
      <c r="D34"/>
      <c r="E34"/>
      <c r="F34"/>
      <c r="G34"/>
      <c r="H34"/>
      <c r="I34"/>
    </row>
    <row r="35" spans="1:11" x14ac:dyDescent="0.25">
      <c r="A35"/>
      <c r="B35"/>
      <c r="C35"/>
      <c r="D35"/>
      <c r="E35"/>
      <c r="F35"/>
      <c r="G35"/>
      <c r="H35"/>
      <c r="I35"/>
    </row>
    <row r="36" spans="1:11" x14ac:dyDescent="0.25">
      <c r="A36"/>
      <c r="B36"/>
      <c r="C36"/>
      <c r="D36"/>
      <c r="E36"/>
      <c r="F36"/>
      <c r="G36"/>
      <c r="H36"/>
      <c r="I36"/>
    </row>
    <row r="37" spans="1:11" x14ac:dyDescent="0.25">
      <c r="A37"/>
      <c r="B37"/>
      <c r="C37"/>
      <c r="D37"/>
      <c r="E37"/>
      <c r="F37"/>
      <c r="G37"/>
      <c r="H37"/>
      <c r="I37"/>
    </row>
    <row r="38" spans="1:11" x14ac:dyDescent="0.25">
      <c r="A38"/>
      <c r="B38"/>
      <c r="C38"/>
      <c r="D38"/>
      <c r="E38"/>
      <c r="F38"/>
      <c r="G38"/>
      <c r="H38"/>
      <c r="I38"/>
    </row>
    <row r="39" spans="1:11" x14ac:dyDescent="0.25">
      <c r="A39"/>
      <c r="B39"/>
      <c r="C39"/>
      <c r="D39"/>
      <c r="E39"/>
      <c r="F39"/>
      <c r="G39"/>
      <c r="H39"/>
      <c r="I39"/>
    </row>
    <row r="40" spans="1:11" x14ac:dyDescent="0.25">
      <c r="A40"/>
      <c r="B40"/>
      <c r="C40"/>
      <c r="D40"/>
      <c r="E40"/>
      <c r="F40"/>
      <c r="G40"/>
      <c r="H40"/>
      <c r="I40"/>
    </row>
    <row r="41" spans="1:11" x14ac:dyDescent="0.25">
      <c r="A41"/>
      <c r="B41"/>
      <c r="C41"/>
      <c r="D41"/>
      <c r="E41"/>
      <c r="F41"/>
      <c r="G41"/>
      <c r="H41"/>
      <c r="I41"/>
    </row>
    <row r="42" spans="1:11" x14ac:dyDescent="0.25">
      <c r="A42"/>
      <c r="B42"/>
      <c r="C42"/>
      <c r="D42"/>
      <c r="E42"/>
      <c r="F42"/>
      <c r="G42"/>
      <c r="H42"/>
      <c r="I42"/>
    </row>
    <row r="43" spans="1:11" x14ac:dyDescent="0.25">
      <c r="A43"/>
      <c r="B43"/>
      <c r="C43"/>
      <c r="D43"/>
      <c r="E43"/>
      <c r="F43"/>
      <c r="G43"/>
      <c r="H43"/>
      <c r="I43"/>
    </row>
    <row r="44" spans="1:11" x14ac:dyDescent="0.25">
      <c r="A44"/>
      <c r="B44"/>
      <c r="C44"/>
      <c r="D44"/>
      <c r="E44"/>
      <c r="F44"/>
      <c r="G44"/>
      <c r="H44"/>
      <c r="I44"/>
    </row>
    <row r="45" spans="1:11" x14ac:dyDescent="0.25">
      <c r="A45"/>
      <c r="B45"/>
      <c r="C45"/>
      <c r="D45"/>
      <c r="E45"/>
      <c r="F45"/>
      <c r="G45"/>
      <c r="H45"/>
      <c r="I45"/>
    </row>
    <row r="46" spans="1:11" x14ac:dyDescent="0.25">
      <c r="A46"/>
      <c r="B46"/>
      <c r="C46"/>
      <c r="D46"/>
      <c r="E46"/>
      <c r="F46"/>
      <c r="G46"/>
      <c r="H46"/>
      <c r="I46"/>
    </row>
    <row r="47" spans="1:11" x14ac:dyDescent="0.25">
      <c r="A47"/>
      <c r="B47"/>
      <c r="C47"/>
      <c r="D47"/>
      <c r="E47"/>
      <c r="F47"/>
      <c r="G47"/>
      <c r="H47"/>
      <c r="I47"/>
      <c r="J47" s="2"/>
      <c r="K47" s="2"/>
    </row>
    <row r="48" spans="1:11" x14ac:dyDescent="0.25">
      <c r="A48"/>
      <c r="B48"/>
      <c r="C48"/>
      <c r="D48"/>
      <c r="E48"/>
      <c r="F48"/>
      <c r="G48"/>
      <c r="H48"/>
      <c r="I48"/>
      <c r="J48" s="2"/>
      <c r="K48" s="2"/>
    </row>
    <row r="49" spans="1:9" x14ac:dyDescent="0.25">
      <c r="A49"/>
      <c r="B49"/>
      <c r="C49"/>
      <c r="D49"/>
      <c r="E49"/>
      <c r="F49"/>
      <c r="G49"/>
      <c r="H49"/>
      <c r="I49"/>
    </row>
    <row r="50" spans="1:9" x14ac:dyDescent="0.25">
      <c r="A50"/>
      <c r="B50"/>
      <c r="C50"/>
      <c r="D50"/>
      <c r="E50"/>
      <c r="F50"/>
      <c r="G50"/>
      <c r="H50"/>
      <c r="I50"/>
    </row>
    <row r="51" spans="1:9" x14ac:dyDescent="0.25">
      <c r="A51"/>
      <c r="B51"/>
      <c r="C51"/>
      <c r="D51"/>
      <c r="E51"/>
      <c r="F51"/>
      <c r="G51"/>
      <c r="H51"/>
      <c r="I51"/>
    </row>
    <row r="52" spans="1:9" x14ac:dyDescent="0.25">
      <c r="A52"/>
      <c r="B52"/>
      <c r="C52"/>
      <c r="D52"/>
      <c r="E52"/>
      <c r="F52"/>
      <c r="G52"/>
      <c r="H52"/>
      <c r="I52"/>
    </row>
    <row r="53" spans="1:9" x14ac:dyDescent="0.25">
      <c r="A53"/>
      <c r="B53"/>
      <c r="C53"/>
      <c r="D53"/>
      <c r="E53"/>
      <c r="F53"/>
      <c r="G53"/>
      <c r="H53"/>
      <c r="I53"/>
    </row>
    <row r="54" spans="1:9" x14ac:dyDescent="0.25">
      <c r="A54"/>
      <c r="B54"/>
      <c r="C54"/>
      <c r="D54"/>
      <c r="E54"/>
      <c r="F54"/>
      <c r="G54"/>
      <c r="H54"/>
      <c r="I54"/>
    </row>
    <row r="55" spans="1:9" x14ac:dyDescent="0.25">
      <c r="A55"/>
      <c r="B55"/>
      <c r="C55"/>
      <c r="D55"/>
      <c r="E55"/>
      <c r="F55"/>
      <c r="G55"/>
      <c r="H55"/>
      <c r="I55"/>
    </row>
    <row r="56" spans="1:9" x14ac:dyDescent="0.25">
      <c r="A56"/>
      <c r="B56"/>
      <c r="C56"/>
      <c r="D56"/>
      <c r="E56"/>
      <c r="F56"/>
      <c r="G56"/>
      <c r="H56"/>
      <c r="I56"/>
    </row>
    <row r="57" spans="1:9" x14ac:dyDescent="0.25">
      <c r="A57"/>
      <c r="B57"/>
      <c r="C57"/>
      <c r="D57"/>
      <c r="E57"/>
      <c r="F57"/>
      <c r="G57"/>
      <c r="H57"/>
      <c r="I57"/>
    </row>
    <row r="58" spans="1:9" x14ac:dyDescent="0.25">
      <c r="A58"/>
      <c r="B58"/>
      <c r="C58"/>
      <c r="D58"/>
      <c r="E58"/>
      <c r="F58"/>
      <c r="G58"/>
      <c r="H58"/>
      <c r="I58"/>
    </row>
    <row r="59" spans="1:9" x14ac:dyDescent="0.25">
      <c r="A59"/>
      <c r="B59"/>
      <c r="C59"/>
      <c r="D59"/>
      <c r="E59"/>
      <c r="F59"/>
      <c r="G59"/>
      <c r="H59"/>
      <c r="I59"/>
    </row>
    <row r="60" spans="1:9" x14ac:dyDescent="0.25">
      <c r="F60" s="2"/>
      <c r="G60" s="2"/>
      <c r="H60" s="2"/>
      <c r="I60" s="2"/>
    </row>
    <row r="61" spans="1:9" x14ac:dyDescent="0.25">
      <c r="F61" s="2"/>
      <c r="G61" s="2"/>
      <c r="H61" s="2"/>
      <c r="I61" s="2"/>
    </row>
    <row r="62" spans="1:9" x14ac:dyDescent="0.25">
      <c r="F62" s="2"/>
      <c r="G62" s="2"/>
      <c r="H62" s="2"/>
      <c r="I62" s="2"/>
    </row>
    <row r="63" spans="1:9" x14ac:dyDescent="0.25">
      <c r="F63" s="2"/>
      <c r="G63" s="2"/>
      <c r="H63" s="2"/>
      <c r="I63" s="2"/>
    </row>
  </sheetData>
  <mergeCells count="6">
    <mergeCell ref="K18:L18"/>
    <mergeCell ref="K5:L5"/>
    <mergeCell ref="I1:I2"/>
    <mergeCell ref="A1:G2"/>
    <mergeCell ref="J9:K9"/>
    <mergeCell ref="J11:K11"/>
  </mergeCells>
  <conditionalFormatting sqref="I3 I5:I7">
    <cfRule type="containsText" dxfId="17" priority="5" operator="containsText" text="PAGO">
      <formula>NOT(ISERROR(SEARCH("PAGO",I3)))</formula>
    </cfRule>
    <cfRule type="containsText" dxfId="16" priority="6" operator="containsText" text="PENDENTE">
      <formula>NOT(ISERROR(SEARCH("PENDENTE",I3)))</formula>
    </cfRule>
    <cfRule type="containsText" dxfId="15" priority="7" operator="containsText" text="PENDENTE">
      <formula>NOT(ISERROR(SEARCH("PENDENTE",I3)))</formula>
    </cfRule>
  </conditionalFormatting>
  <pageMargins left="0.23622047244094491" right="0.23622047244094491" top="0.74803149606299213" bottom="0.74803149606299213" header="0.31496062992125984" footer="0.31496062992125984"/>
  <pageSetup paperSize="9" scale="75" orientation="landscape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60" r:id="rId4" name="btnInserir">
          <controlPr defaultSize="0" autoLine="0" r:id="rId5">
            <anchor moveWithCells="1">
              <from>
                <xdr:col>6</xdr:col>
                <xdr:colOff>390525</xdr:colOff>
                <xdr:row>0</xdr:row>
                <xdr:rowOff>104775</xdr:rowOff>
              </from>
              <to>
                <xdr:col>6</xdr:col>
                <xdr:colOff>1285875</xdr:colOff>
                <xdr:row>1</xdr:row>
                <xdr:rowOff>104775</xdr:rowOff>
              </to>
            </anchor>
          </controlPr>
        </control>
      </mc:Choice>
      <mc:Fallback>
        <control shapeId="1060" r:id="rId4" name="btnInserir"/>
      </mc:Fallback>
    </mc:AlternateContent>
    <mc:AlternateContent xmlns:mc="http://schemas.openxmlformats.org/markup-compatibility/2006">
      <mc:Choice Requires="x14">
        <control shapeId="1061" r:id="rId6" name="txtSearch">
          <controlPr defaultSize="0" autoLine="0" r:id="rId7">
            <anchor moveWithCells="1">
              <from>
                <xdr:col>3</xdr:col>
                <xdr:colOff>276225</xdr:colOff>
                <xdr:row>0</xdr:row>
                <xdr:rowOff>123825</xdr:rowOff>
              </from>
              <to>
                <xdr:col>4</xdr:col>
                <xdr:colOff>504825</xdr:colOff>
                <xdr:row>1</xdr:row>
                <xdr:rowOff>66675</xdr:rowOff>
              </to>
            </anchor>
          </controlPr>
        </control>
      </mc:Choice>
      <mc:Fallback>
        <control shapeId="1061" r:id="rId6" name="txtSearch"/>
      </mc:Fallback>
    </mc:AlternateContent>
    <mc:AlternateContent xmlns:mc="http://schemas.openxmlformats.org/markup-compatibility/2006">
      <mc:Choice Requires="x14">
        <control shapeId="1062" r:id="rId8" name="btnSearch">
          <controlPr defaultSize="0" autoLine="0" r:id="rId9">
            <anchor moveWithCells="1">
              <from>
                <xdr:col>5</xdr:col>
                <xdr:colOff>771525</xdr:colOff>
                <xdr:row>0</xdr:row>
                <xdr:rowOff>133350</xdr:rowOff>
              </from>
              <to>
                <xdr:col>6</xdr:col>
                <xdr:colOff>371475</xdr:colOff>
                <xdr:row>1</xdr:row>
                <xdr:rowOff>66675</xdr:rowOff>
              </to>
            </anchor>
          </controlPr>
        </control>
      </mc:Choice>
      <mc:Fallback>
        <control shapeId="1062" r:id="rId8" name="btnSearch"/>
      </mc:Fallback>
    </mc:AlternateContent>
    <mc:AlternateContent xmlns:mc="http://schemas.openxmlformats.org/markup-compatibility/2006">
      <mc:Choice Requires="x14">
        <control shapeId="1063" r:id="rId10" name="Option Button 39">
          <controlPr defaultSize="0" autoFill="0" autoLine="0" autoPict="0">
            <anchor moveWithCells="1">
              <from>
                <xdr:col>4</xdr:col>
                <xdr:colOff>485775</xdr:colOff>
                <xdr:row>0</xdr:row>
                <xdr:rowOff>228600</xdr:rowOff>
              </from>
              <to>
                <xdr:col>5</xdr:col>
                <xdr:colOff>609600</xdr:colOff>
                <xdr:row>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4" r:id="rId11" name="Option Button 40">
          <controlPr defaultSize="0" autoFill="0" autoLine="0" autoPict="0" macro="[0]!Botãodeopção40_Clique">
            <anchor moveWithCells="1">
              <from>
                <xdr:col>4</xdr:col>
                <xdr:colOff>485775</xdr:colOff>
                <xdr:row>0</xdr:row>
                <xdr:rowOff>47625</xdr:rowOff>
              </from>
              <to>
                <xdr:col>5</xdr:col>
                <xdr:colOff>609600</xdr:colOff>
                <xdr:row>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12" name="Option Button 41">
          <controlPr locked="0" defaultSize="0" autoFill="0" autoLine="0" autoPict="0">
            <anchor moveWithCells="1">
              <from>
                <xdr:col>4</xdr:col>
                <xdr:colOff>495300</xdr:colOff>
                <xdr:row>1</xdr:row>
                <xdr:rowOff>28575</xdr:rowOff>
              </from>
              <to>
                <xdr:col>5</xdr:col>
                <xdr:colOff>619125</xdr:colOff>
                <xdr:row>1</xdr:row>
                <xdr:rowOff>180975</xdr:rowOff>
              </to>
            </anchor>
          </controlPr>
        </control>
      </mc:Choice>
    </mc:AlternateContent>
  </controls>
  <tableParts count="2">
    <tablePart r:id="rId13"/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3</vt:i4>
      </vt:variant>
      <vt:variant>
        <vt:lpstr>Gráficos</vt:lpstr>
      </vt:variant>
      <vt:variant>
        <vt:i4>2</vt:i4>
      </vt:variant>
      <vt:variant>
        <vt:lpstr>Intervalos Nomeados</vt:lpstr>
      </vt:variant>
      <vt:variant>
        <vt:i4>3</vt:i4>
      </vt:variant>
    </vt:vector>
  </HeadingPairs>
  <TitlesOfParts>
    <vt:vector size="8" baseType="lpstr">
      <vt:lpstr>Plan1</vt:lpstr>
      <vt:lpstr>Plan2</vt:lpstr>
      <vt:lpstr>Plan3</vt:lpstr>
      <vt:lpstr>Gráfico2</vt:lpstr>
      <vt:lpstr>Gráfico1</vt:lpstr>
      <vt:lpstr>Plan1!Area_de_impressao</vt:lpstr>
      <vt:lpstr>Faturamento_Hapvida</vt:lpstr>
      <vt:lpstr>PEDIDO_DE_COMPRA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NOVOLAR</dc:creator>
  <cp:lastModifiedBy>Alysson</cp:lastModifiedBy>
  <cp:lastPrinted>2019-08-21T13:07:59Z</cp:lastPrinted>
  <dcterms:created xsi:type="dcterms:W3CDTF">2019-07-25T11:15:53Z</dcterms:created>
  <dcterms:modified xsi:type="dcterms:W3CDTF">2019-10-22T01:58:29Z</dcterms:modified>
</cp:coreProperties>
</file>